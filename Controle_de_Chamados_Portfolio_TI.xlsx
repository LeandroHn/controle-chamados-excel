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obre" sheetId="1" state="visible" r:id="rId3"/>
    <sheet name="Chamados" sheetId="2" state="visible" r:id="rId4"/>
    <sheet name="Parametros" sheetId="3" state="visible" r:id="rId5"/>
    <sheet name="Resumo" sheetId="4" state="visible" r:id="rId6"/>
  </sheets>
  <definedNames>
    <definedName function="false" hidden="true" localSheetId="1" name="_xlnm._FilterDatabase" vbProcedure="false">Chamados!$A$1:$L$1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<sst xmlns="http://schemas.openxmlformats.org/spreadsheetml/2006/main" count="362" uniqueCount="131">
  <si>
    <t xml:space="preserve">Controle de Chamados - Portfólio de TI</t>
  </si>
  <si>
    <t xml:space="preserve">Projeto de portfólio para as áreas de Help Desk, QA e RPA</t>
  </si>
  <si>
    <t xml:space="preserve">Este arquivo simula um sistema real de controle de chamados/incidentes de suporte técnico.</t>
  </si>
  <si>
    <t xml:space="preserve">Foi criado como projeto de portfólio para demonstrar habilidades de Excel aplicadas a</t>
  </si>
  <si>
    <t xml:space="preserve">processos de Help Desk, QA e RPA.</t>
  </si>
  <si>
    <t xml:space="preserve">Abas do arquivo:</t>
  </si>
  <si>
    <t xml:space="preserve">  • Chamados: base de dados com 48 chamados fictícios e fórmulas de apoio</t>
  </si>
  <si>
    <t xml:space="preserve">  • Parâmetros: tabelas de responsáveis e SLA por prioridade (usadas pelas fórmulas)</t>
  </si>
  <si>
    <t xml:space="preserve">  • Resumo: indicadores, tabelas-resumo e gráficos</t>
  </si>
  <si>
    <t xml:space="preserve">Fórmulas utilizadas: PROCV (VLOOKUP), SE (IF), SOMASES/CONT.SES/MÉDIASES</t>
  </si>
  <si>
    <t xml:space="preserve">(SUMIFS/COUNTIFS/AVERAGEIFS), cálculo de diferença entre datas.</t>
  </si>
  <si>
    <t xml:space="preserve">Autor: [seu nome aqui]</t>
  </si>
  <si>
    <t xml:space="preserve">Data de criação: 26/09/2026</t>
  </si>
  <si>
    <t xml:space="preserve">ID Chamado</t>
  </si>
  <si>
    <t xml:space="preserve">Data Abertura</t>
  </si>
  <si>
    <t xml:space="preserve">Categoria do Problema</t>
  </si>
  <si>
    <t xml:space="preserve">Descrição</t>
  </si>
  <si>
    <t xml:space="preserve">Prioridade</t>
  </si>
  <si>
    <t xml:space="preserve">Status</t>
  </si>
  <si>
    <t xml:space="preserve">ID Responsável</t>
  </si>
  <si>
    <t xml:space="preserve">Responsável</t>
  </si>
  <si>
    <t xml:space="preserve">Data Resolução</t>
  </si>
  <si>
    <t xml:space="preserve">Tempo Resolução (dias)</t>
  </si>
  <si>
    <t xml:space="preserve">SLA (dias)</t>
  </si>
  <si>
    <t xml:space="preserve">Dentro do Prazo</t>
  </si>
  <si>
    <t xml:space="preserve">CH028</t>
  </si>
  <si>
    <t xml:space="preserve">Rede</t>
  </si>
  <si>
    <t xml:space="preserve">Sem acesso à internet</t>
  </si>
  <si>
    <t xml:space="preserve">Média</t>
  </si>
  <si>
    <t xml:space="preserve">Resolvido</t>
  </si>
  <si>
    <t xml:space="preserve">R05</t>
  </si>
  <si>
    <t xml:space="preserve">CH032</t>
  </si>
  <si>
    <t xml:space="preserve">Hardware</t>
  </si>
  <si>
    <t xml:space="preserve">Monitor não liga</t>
  </si>
  <si>
    <t xml:space="preserve">Baixa</t>
  </si>
  <si>
    <t xml:space="preserve">R03</t>
  </si>
  <si>
    <t xml:space="preserve">CH026</t>
  </si>
  <si>
    <t xml:space="preserve">Software</t>
  </si>
  <si>
    <t xml:space="preserve">Erro ao abrir sistema ERP</t>
  </si>
  <si>
    <t xml:space="preserve">R01</t>
  </si>
  <si>
    <t xml:space="preserve">CH022</t>
  </si>
  <si>
    <t xml:space="preserve">Teclado sem funcionar</t>
  </si>
  <si>
    <t xml:space="preserve">R02</t>
  </si>
  <si>
    <t xml:space="preserve">CH023</t>
  </si>
  <si>
    <t xml:space="preserve">Impressora</t>
  </si>
  <si>
    <t xml:space="preserve">Fila de impressão travada</t>
  </si>
  <si>
    <t xml:space="preserve">CH019</t>
  </si>
  <si>
    <t xml:space="preserve">Acesso/Senha</t>
  </si>
  <si>
    <t xml:space="preserve">Senha de rede expirada</t>
  </si>
  <si>
    <t xml:space="preserve">CH041</t>
  </si>
  <si>
    <t xml:space="preserve">CH034</t>
  </si>
  <si>
    <t xml:space="preserve">Lentidão na rede local</t>
  </si>
  <si>
    <t xml:space="preserve">Alta</t>
  </si>
  <si>
    <t xml:space="preserve">Cancelado</t>
  </si>
  <si>
    <t xml:space="preserve">CH027</t>
  </si>
  <si>
    <t xml:space="preserve">Erro de driver de impressão</t>
  </si>
  <si>
    <t xml:space="preserve">CH038</t>
  </si>
  <si>
    <t xml:space="preserve">Queda de conexão VPN</t>
  </si>
  <si>
    <t xml:space="preserve">CH033</t>
  </si>
  <si>
    <t xml:space="preserve">Impressora não imprime</t>
  </si>
  <si>
    <t xml:space="preserve">Em andamento</t>
  </si>
  <si>
    <t xml:space="preserve">CH031</t>
  </si>
  <si>
    <t xml:space="preserve">R04</t>
  </si>
  <si>
    <t xml:space="preserve">CH044</t>
  </si>
  <si>
    <t xml:space="preserve">Solicitação de reset de senha</t>
  </si>
  <si>
    <t xml:space="preserve">CH011</t>
  </si>
  <si>
    <t xml:space="preserve">CH047</t>
  </si>
  <si>
    <t xml:space="preserve">CH001</t>
  </si>
  <si>
    <t xml:space="preserve">Wi-Fi instável</t>
  </si>
  <si>
    <t xml:space="preserve">CH010</t>
  </si>
  <si>
    <t xml:space="preserve">CH045</t>
  </si>
  <si>
    <t xml:space="preserve">CH035</t>
  </si>
  <si>
    <t xml:space="preserve">CH030</t>
  </si>
  <si>
    <t xml:space="preserve">CH040</t>
  </si>
  <si>
    <t xml:space="preserve">CH036</t>
  </si>
  <si>
    <t xml:space="preserve">Licença de software expirada</t>
  </si>
  <si>
    <t xml:space="preserve">CH048</t>
  </si>
  <si>
    <t xml:space="preserve">CH005</t>
  </si>
  <si>
    <t xml:space="preserve">CH043</t>
  </si>
  <si>
    <t xml:space="preserve">CH014</t>
  </si>
  <si>
    <t xml:space="preserve">CH021</t>
  </si>
  <si>
    <t xml:space="preserve">Toner não reconhecido</t>
  </si>
  <si>
    <t xml:space="preserve">Crítica</t>
  </si>
  <si>
    <t xml:space="preserve">CH025</t>
  </si>
  <si>
    <t xml:space="preserve">Mouse não é reconhecido</t>
  </si>
  <si>
    <t xml:space="preserve">CH029</t>
  </si>
  <si>
    <t xml:space="preserve">CH008</t>
  </si>
  <si>
    <t xml:space="preserve">CH016</t>
  </si>
  <si>
    <t xml:space="preserve">Bloqueio de usuário no AD</t>
  </si>
  <si>
    <t xml:space="preserve">Aberto</t>
  </si>
  <si>
    <t xml:space="preserve">CH013</t>
  </si>
  <si>
    <t xml:space="preserve">CH009</t>
  </si>
  <si>
    <t xml:space="preserve">CH037</t>
  </si>
  <si>
    <t xml:space="preserve">CH024</t>
  </si>
  <si>
    <t xml:space="preserve">CH020</t>
  </si>
  <si>
    <t xml:space="preserve">CH006</t>
  </si>
  <si>
    <t xml:space="preserve">CH002</t>
  </si>
  <si>
    <t xml:space="preserve">CH018</t>
  </si>
  <si>
    <t xml:space="preserve">CH017</t>
  </si>
  <si>
    <t xml:space="preserve">CH007</t>
  </si>
  <si>
    <t xml:space="preserve">CH039</t>
  </si>
  <si>
    <t xml:space="preserve">Notebook não carrega</t>
  </si>
  <si>
    <t xml:space="preserve">CH046</t>
  </si>
  <si>
    <t xml:space="preserve">CH015</t>
  </si>
  <si>
    <t xml:space="preserve">CH004</t>
  </si>
  <si>
    <t xml:space="preserve">CH003</t>
  </si>
  <si>
    <t xml:space="preserve">CH042</t>
  </si>
  <si>
    <t xml:space="preserve">CH012</t>
  </si>
  <si>
    <t xml:space="preserve">Aplicativo travando ao salvar</t>
  </si>
  <si>
    <t xml:space="preserve">Responsáveis</t>
  </si>
  <si>
    <t xml:space="preserve">SLA por Prioridade</t>
  </si>
  <si>
    <t xml:space="preserve">ID</t>
  </si>
  <si>
    <t xml:space="preserve">Nome</t>
  </si>
  <si>
    <t xml:space="preserve">Ana Souza</t>
  </si>
  <si>
    <t xml:space="preserve">Bruno Lima</t>
  </si>
  <si>
    <t xml:space="preserve">Carla Mendes</t>
  </si>
  <si>
    <t xml:space="preserve">Diego Alves</t>
  </si>
  <si>
    <t xml:space="preserve">Elisa Rocha</t>
  </si>
  <si>
    <t xml:space="preserve">Resumo e Indicadores de Chamados</t>
  </si>
  <si>
    <t xml:space="preserve">Valores calculados automaticamente a partir da aba Chamados</t>
  </si>
  <si>
    <t xml:space="preserve">Chamados por Categoria</t>
  </si>
  <si>
    <t xml:space="preserve">Chamados por Prioridade</t>
  </si>
  <si>
    <t xml:space="preserve">Tempo Médio de Resolução (dias)</t>
  </si>
  <si>
    <t xml:space="preserve">Categoria</t>
  </si>
  <si>
    <t xml:space="preserve">Quantidade</t>
  </si>
  <si>
    <t xml:space="preserve">Tempo Médio</t>
  </si>
  <si>
    <t xml:space="preserve">Indicadores Gerais</t>
  </si>
  <si>
    <t xml:space="preserve">Total de chamados</t>
  </si>
  <si>
    <t xml:space="preserve">Chamados resolvidos</t>
  </si>
  <si>
    <t xml:space="preserve">Chamados em aberto</t>
  </si>
  <si>
    <t xml:space="preserve">Chamados fora do prazo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</si>
</sst>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Chamados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Resumo!C6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Resumo!$B$7:$B$11</c:f>
              <c:strCache>
                <c:ptCount val="5"/>
                <c:pt idx="0">
                  <c:v>Rede</c:v>
                </c:pt>
                <c:pt idx="1">
                  <c:v>Impressora</c:v>
                </c:pt>
                <c:pt idx="2">
                  <c:v>Acesso/Senha</c:v>
                </c:pt>
                <c:pt idx="3">
                  <c:v>Software</c:v>
                </c:pt>
                <c:pt idx="4">
                  <c:v>Hardware</c:v>
                </c:pt>
              </c:strCache>
            </c:strRef>
          </c:cat>
          <c:val>
            <c:numRef>
              <c:f>Resumo!$C$7:$C$11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13</c:v>
                </c:pt>
              </c:numCache>
            </c:numRef>
          </c:val>
        </c:ser>
        <c:gapWidth val="150"/>
        <c:overlap val="0"/>
        <c:axId val="29428006"/>
        <c:axId val="40880190"/>
      </c:barChart>
      <c:catAx>
        <c:axId val="294280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80190"/>
        <c:crosses val="autoZero"/>
        <c:auto val="1"/>
        <c:lblAlgn val="ctr"/>
        <c:lblOffset val="100"/>
        <c:noMultiLvlLbl val="0"/>
      </c:catAx>
      <c:valAx>
        <c:axId val="40880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280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Tempo Médio de Resolução por Prioridade (dias)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Resumo!I6</c:f>
              <c:strCache>
                <c:ptCount val="1"/>
                <c:pt idx="0">
                  <c:v>Tempo Médio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Resumo!$H$7:$H$10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Média</c:v>
                </c:pt>
                <c:pt idx="3">
                  <c:v>Baixa</c:v>
                </c:pt>
              </c:strCache>
            </c:strRef>
          </c:cat>
          <c:val>
            <c:numRef>
              <c:f>Resumo!$I$7:$I$10</c:f>
              <c:numCache>
                <c:formatCode>0.0</c:formatCode>
                <c:ptCount val="4"/>
                <c:pt idx="0">
                  <c:v>1</c:v>
                </c:pt>
                <c:pt idx="1">
                  <c:v>1.9</c:v>
                </c:pt>
                <c:pt idx="2">
                  <c:v>3.92857142857143</c:v>
                </c:pt>
                <c:pt idx="3">
                  <c:v>11.2666666666667</c:v>
                </c:pt>
              </c:numCache>
            </c:numRef>
          </c:val>
        </c:ser>
        <c:gapWidth val="150"/>
        <c:overlap val="0"/>
        <c:axId val="93811763"/>
        <c:axId val="52953512"/>
      </c:barChart>
      <c:catAx>
        <c:axId val="938117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Prioridade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53512"/>
        <c:crosses val="autoZero"/>
        <c:auto val="1"/>
        <c:lblAlgn val="ctr"/>
        <c:lblOffset val="100"/>
        <c:noMultiLvlLbl val="0"/>
      </c:catAx>
      <c:valAx>
        <c:axId val="52953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117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de Chamados por Prioridade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Resumo!F6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Resumo!$E$7:$E$10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Média</c:v>
                </c:pt>
                <c:pt idx="3">
                  <c:v>Baixa</c:v>
                </c:pt>
              </c:strCache>
            </c:strRef>
          </c:cat>
          <c:val>
            <c:numRef>
              <c:f>Resumo!$F$7:$F$10</c:f>
              <c:numCache>
                <c:formatCode>General</c:formatCode>
                <c:ptCount val="4"/>
                <c:pt idx="0">
                  <c:v>4</c:v>
                </c:pt>
                <c:pt idx="1">
                  <c:v>10</c:v>
                </c:pt>
                <c:pt idx="2">
                  <c:v>14</c:v>
                </c:pt>
                <c:pt idx="3">
                  <c:v>20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160560</xdr:rowOff>
    </xdr:from>
    <xdr:to>
      <xdr:col>8</xdr:col>
      <xdr:colOff>261720</xdr:colOff>
      <xdr:row>36</xdr:row>
      <xdr:rowOff>161640</xdr:rowOff>
    </xdr:to>
    <xdr:graphicFrame>
      <xdr:nvGraphicFramePr>
        <xdr:cNvPr id="0" name="Chart 1"/>
        <xdr:cNvGraphicFramePr/>
      </xdr:nvGraphicFramePr>
      <xdr:xfrm>
        <a:off x="211320" y="380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160560</xdr:rowOff>
    </xdr:from>
    <xdr:to>
      <xdr:col>15</xdr:col>
      <xdr:colOff>117000</xdr:colOff>
      <xdr:row>36</xdr:row>
      <xdr:rowOff>161640</xdr:rowOff>
    </xdr:to>
    <xdr:graphicFrame>
      <xdr:nvGraphicFramePr>
        <xdr:cNvPr id="1" name="Chart 2"/>
        <xdr:cNvGraphicFramePr/>
      </xdr:nvGraphicFramePr>
      <xdr:xfrm>
        <a:off x="4722480" y="380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160560</xdr:rowOff>
    </xdr:from>
    <xdr:to>
      <xdr:col>7</xdr:col>
      <xdr:colOff>528480</xdr:colOff>
      <xdr:row>54</xdr:row>
      <xdr:rowOff>161640</xdr:rowOff>
    </xdr:to>
    <xdr:graphicFrame>
      <xdr:nvGraphicFramePr>
        <xdr:cNvPr id="2" name="Chart 3"/>
        <xdr:cNvGraphicFramePr/>
      </xdr:nvGraphicFramePr>
      <xdr:xfrm>
        <a:off x="211320" y="7238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4" t="s">
        <v>9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11</v>
      </c>
    </row>
    <row r="19" customFormat="false" ht="15" hidden="false" customHeight="false" outlineLevel="0" collapsed="false">
      <c r="B19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</row>
    <row r="2" customFormat="false" ht="15" hidden="false" customHeight="false" outlineLevel="0" collapsed="false">
      <c r="A2" s="6" t="s">
        <v>25</v>
      </c>
      <c r="B2" s="7" t="n">
        <v>46095</v>
      </c>
      <c r="C2" s="8" t="s">
        <v>26</v>
      </c>
      <c r="D2" s="8" t="s">
        <v>27</v>
      </c>
      <c r="E2" s="6" t="s">
        <v>28</v>
      </c>
      <c r="F2" s="6" t="s">
        <v>29</v>
      </c>
      <c r="G2" s="6" t="s">
        <v>30</v>
      </c>
      <c r="H2" s="8" t="str">
        <f aca="false">VLOOKUP(G2,Parametros!$A$3:$B$7,2,FALSE())</f>
        <v>Elisa Rocha</v>
      </c>
      <c r="I2" s="7" t="n">
        <v>46095</v>
      </c>
      <c r="J2" s="6" t="n">
        <f aca="false">IF(I2="","",I2-B2)</f>
        <v>0</v>
      </c>
      <c r="K2" s="6" t="n">
        <f aca="false">VLOOKUP(E2,Parametros!$D$3:$E$6,2,FALSE())</f>
        <v>5</v>
      </c>
      <c r="L2" s="6" t="str">
        <f aca="false">IF(J2="","",IF(J2&lt;=K2,"Dentro do prazo","Fora do prazo"))</f>
        <v>Dentro do prazo</v>
      </c>
    </row>
    <row r="3" customFormat="false" ht="15" hidden="false" customHeight="false" outlineLevel="0" collapsed="false">
      <c r="A3" s="6" t="s">
        <v>31</v>
      </c>
      <c r="B3" s="7" t="n">
        <v>46095</v>
      </c>
      <c r="C3" s="8" t="s">
        <v>32</v>
      </c>
      <c r="D3" s="8" t="s">
        <v>33</v>
      </c>
      <c r="E3" s="6" t="s">
        <v>34</v>
      </c>
      <c r="F3" s="6" t="s">
        <v>29</v>
      </c>
      <c r="G3" s="6" t="s">
        <v>35</v>
      </c>
      <c r="H3" s="8" t="str">
        <f aca="false">VLOOKUP(G3,Parametros!$A$3:$B$7,2,FALSE())</f>
        <v>Carla Mendes</v>
      </c>
      <c r="I3" s="7" t="n">
        <v>46104</v>
      </c>
      <c r="J3" s="6" t="n">
        <f aca="false">IF(I3="","",I3-B3)</f>
        <v>9</v>
      </c>
      <c r="K3" s="6" t="n">
        <f aca="false">VLOOKUP(E3,Parametros!$D$3:$E$6,2,FALSE())</f>
        <v>10</v>
      </c>
      <c r="L3" s="6" t="str">
        <f aca="false">IF(J3="","",IF(J3&lt;=K3,"Dentro do prazo","Fora do prazo"))</f>
        <v>Dentro do prazo</v>
      </c>
    </row>
    <row r="4" customFormat="false" ht="15" hidden="false" customHeight="false" outlineLevel="0" collapsed="false">
      <c r="A4" s="6" t="s">
        <v>36</v>
      </c>
      <c r="B4" s="7" t="n">
        <v>46098</v>
      </c>
      <c r="C4" s="8" t="s">
        <v>37</v>
      </c>
      <c r="D4" s="8" t="s">
        <v>38</v>
      </c>
      <c r="E4" s="6" t="s">
        <v>28</v>
      </c>
      <c r="F4" s="6" t="s">
        <v>29</v>
      </c>
      <c r="G4" s="6" t="s">
        <v>39</v>
      </c>
      <c r="H4" s="8" t="str">
        <f aca="false">VLOOKUP(G4,Parametros!$A$3:$B$7,2,FALSE())</f>
        <v>Ana Souza</v>
      </c>
      <c r="I4" s="7" t="n">
        <v>46103</v>
      </c>
      <c r="J4" s="6" t="n">
        <f aca="false">IF(I4="","",I4-B4)</f>
        <v>5</v>
      </c>
      <c r="K4" s="6" t="n">
        <f aca="false">VLOOKUP(E4,Parametros!$D$3:$E$6,2,FALSE())</f>
        <v>5</v>
      </c>
      <c r="L4" s="6" t="str">
        <f aca="false">IF(J4="","",IF(J4&lt;=K4,"Dentro do prazo","Fora do prazo"))</f>
        <v>Dentro do prazo</v>
      </c>
    </row>
    <row r="5" customFormat="false" ht="15" hidden="false" customHeight="false" outlineLevel="0" collapsed="false">
      <c r="A5" s="6" t="s">
        <v>40</v>
      </c>
      <c r="B5" s="7" t="n">
        <v>46099</v>
      </c>
      <c r="C5" s="8" t="s">
        <v>32</v>
      </c>
      <c r="D5" s="8" t="s">
        <v>41</v>
      </c>
      <c r="E5" s="6" t="s">
        <v>28</v>
      </c>
      <c r="F5" s="6" t="s">
        <v>29</v>
      </c>
      <c r="G5" s="6" t="s">
        <v>42</v>
      </c>
      <c r="H5" s="8" t="str">
        <f aca="false">VLOOKUP(G5,Parametros!$A$3:$B$7,2,FALSE())</f>
        <v>Bruno Lima</v>
      </c>
      <c r="I5" s="7" t="n">
        <v>46100</v>
      </c>
      <c r="J5" s="6" t="n">
        <f aca="false">IF(I5="","",I5-B5)</f>
        <v>1</v>
      </c>
      <c r="K5" s="6" t="n">
        <f aca="false">VLOOKUP(E5,Parametros!$D$3:$E$6,2,FALSE())</f>
        <v>5</v>
      </c>
      <c r="L5" s="6" t="str">
        <f aca="false">IF(J5="","",IF(J5&lt;=K5,"Dentro do prazo","Fora do prazo"))</f>
        <v>Dentro do prazo</v>
      </c>
    </row>
    <row r="6" customFormat="false" ht="15" hidden="false" customHeight="false" outlineLevel="0" collapsed="false">
      <c r="A6" s="6" t="s">
        <v>43</v>
      </c>
      <c r="B6" s="7" t="n">
        <v>46100</v>
      </c>
      <c r="C6" s="8" t="s">
        <v>44</v>
      </c>
      <c r="D6" s="8" t="s">
        <v>45</v>
      </c>
      <c r="E6" s="6" t="s">
        <v>34</v>
      </c>
      <c r="F6" s="6" t="s">
        <v>29</v>
      </c>
      <c r="G6" s="6" t="s">
        <v>39</v>
      </c>
      <c r="H6" s="8" t="str">
        <f aca="false">VLOOKUP(G6,Parametros!$A$3:$B$7,2,FALSE())</f>
        <v>Ana Souza</v>
      </c>
      <c r="I6" s="7" t="n">
        <v>46114</v>
      </c>
      <c r="J6" s="6" t="n">
        <f aca="false">IF(I6="","",I6-B6)</f>
        <v>14</v>
      </c>
      <c r="K6" s="6" t="n">
        <f aca="false">VLOOKUP(E6,Parametros!$D$3:$E$6,2,FALSE())</f>
        <v>10</v>
      </c>
      <c r="L6" s="6" t="str">
        <f aca="false">IF(J6="","",IF(J6&lt;=K6,"Dentro do prazo","Fora do prazo"))</f>
        <v>Fora do prazo</v>
      </c>
    </row>
    <row r="7" customFormat="false" ht="15" hidden="false" customHeight="false" outlineLevel="0" collapsed="false">
      <c r="A7" s="6" t="s">
        <v>46</v>
      </c>
      <c r="B7" s="7" t="n">
        <v>46104</v>
      </c>
      <c r="C7" s="8" t="s">
        <v>47</v>
      </c>
      <c r="D7" s="8" t="s">
        <v>48</v>
      </c>
      <c r="E7" s="6" t="s">
        <v>34</v>
      </c>
      <c r="F7" s="6" t="s">
        <v>29</v>
      </c>
      <c r="G7" s="6" t="s">
        <v>42</v>
      </c>
      <c r="H7" s="8" t="str">
        <f aca="false">VLOOKUP(G7,Parametros!$A$3:$B$7,2,FALSE())</f>
        <v>Bruno Lima</v>
      </c>
      <c r="I7" s="7" t="n">
        <v>46134</v>
      </c>
      <c r="J7" s="6" t="n">
        <f aca="false">IF(I7="","",I7-B7)</f>
        <v>30</v>
      </c>
      <c r="K7" s="6" t="n">
        <f aca="false">VLOOKUP(E7,Parametros!$D$3:$E$6,2,FALSE())</f>
        <v>10</v>
      </c>
      <c r="L7" s="6" t="str">
        <f aca="false">IF(J7="","",IF(J7&lt;=K7,"Dentro do prazo","Fora do prazo"))</f>
        <v>Fora do prazo</v>
      </c>
    </row>
    <row r="8" customFormat="false" ht="15" hidden="false" customHeight="false" outlineLevel="0" collapsed="false">
      <c r="A8" s="6" t="s">
        <v>49</v>
      </c>
      <c r="B8" s="7" t="n">
        <v>46106</v>
      </c>
      <c r="C8" s="8" t="s">
        <v>47</v>
      </c>
      <c r="D8" s="8" t="s">
        <v>48</v>
      </c>
      <c r="E8" s="6" t="s">
        <v>28</v>
      </c>
      <c r="F8" s="6" t="s">
        <v>29</v>
      </c>
      <c r="G8" s="6" t="s">
        <v>35</v>
      </c>
      <c r="H8" s="8" t="str">
        <f aca="false">VLOOKUP(G8,Parametros!$A$3:$B$7,2,FALSE())</f>
        <v>Carla Mendes</v>
      </c>
      <c r="I8" s="7" t="n">
        <v>46113</v>
      </c>
      <c r="J8" s="6" t="n">
        <f aca="false">IF(I8="","",I8-B8)</f>
        <v>7</v>
      </c>
      <c r="K8" s="6" t="n">
        <f aca="false">VLOOKUP(E8,Parametros!$D$3:$E$6,2,FALSE())</f>
        <v>5</v>
      </c>
      <c r="L8" s="6" t="str">
        <f aca="false">IF(J8="","",IF(J8&lt;=K8,"Dentro do prazo","Fora do prazo"))</f>
        <v>Fora do prazo</v>
      </c>
    </row>
    <row r="9" customFormat="false" ht="15" hidden="false" customHeight="false" outlineLevel="0" collapsed="false">
      <c r="A9" s="6" t="s">
        <v>50</v>
      </c>
      <c r="B9" s="7" t="n">
        <v>46113</v>
      </c>
      <c r="C9" s="8" t="s">
        <v>26</v>
      </c>
      <c r="D9" s="8" t="s">
        <v>51</v>
      </c>
      <c r="E9" s="6" t="s">
        <v>52</v>
      </c>
      <c r="F9" s="6" t="s">
        <v>53</v>
      </c>
      <c r="G9" s="6" t="s">
        <v>42</v>
      </c>
      <c r="H9" s="8" t="str">
        <f aca="false">VLOOKUP(G9,Parametros!$A$3:$B$7,2,FALSE())</f>
        <v>Bruno Lima</v>
      </c>
      <c r="I9" s="7" t="n">
        <v>46114</v>
      </c>
      <c r="J9" s="6" t="n">
        <f aca="false">IF(I9="","",I9-B9)</f>
        <v>1</v>
      </c>
      <c r="K9" s="6" t="n">
        <f aca="false">VLOOKUP(E9,Parametros!$D$3:$E$6,2,FALSE())</f>
        <v>2</v>
      </c>
      <c r="L9" s="6" t="str">
        <f aca="false">IF(J9="","",IF(J9&lt;=K9,"Dentro do prazo","Fora do prazo"))</f>
        <v>Dentro do prazo</v>
      </c>
    </row>
    <row r="10" customFormat="false" ht="15" hidden="false" customHeight="false" outlineLevel="0" collapsed="false">
      <c r="A10" s="6" t="s">
        <v>54</v>
      </c>
      <c r="B10" s="7" t="n">
        <v>46118</v>
      </c>
      <c r="C10" s="8" t="s">
        <v>44</v>
      </c>
      <c r="D10" s="8" t="s">
        <v>55</v>
      </c>
      <c r="E10" s="6" t="s">
        <v>34</v>
      </c>
      <c r="F10" s="6" t="s">
        <v>29</v>
      </c>
      <c r="G10" s="6" t="s">
        <v>30</v>
      </c>
      <c r="H10" s="8" t="str">
        <f aca="false">VLOOKUP(G10,Parametros!$A$3:$B$7,2,FALSE())</f>
        <v>Elisa Rocha</v>
      </c>
      <c r="I10" s="7" t="n">
        <v>46121</v>
      </c>
      <c r="J10" s="6" t="n">
        <f aca="false">IF(I10="","",I10-B10)</f>
        <v>3</v>
      </c>
      <c r="K10" s="6" t="n">
        <f aca="false">VLOOKUP(E10,Parametros!$D$3:$E$6,2,FALSE())</f>
        <v>10</v>
      </c>
      <c r="L10" s="6" t="str">
        <f aca="false">IF(J10="","",IF(J10&lt;=K10,"Dentro do prazo","Fora do prazo"))</f>
        <v>Dentro do prazo</v>
      </c>
    </row>
    <row r="11" customFormat="false" ht="15" hidden="false" customHeight="false" outlineLevel="0" collapsed="false">
      <c r="A11" s="6" t="s">
        <v>56</v>
      </c>
      <c r="B11" s="7" t="n">
        <v>46123</v>
      </c>
      <c r="C11" s="8" t="s">
        <v>26</v>
      </c>
      <c r="D11" s="8" t="s">
        <v>57</v>
      </c>
      <c r="E11" s="6" t="s">
        <v>52</v>
      </c>
      <c r="F11" s="6" t="s">
        <v>29</v>
      </c>
      <c r="G11" s="6" t="s">
        <v>35</v>
      </c>
      <c r="H11" s="8" t="str">
        <f aca="false">VLOOKUP(G11,Parametros!$A$3:$B$7,2,FALSE())</f>
        <v>Carla Mendes</v>
      </c>
      <c r="I11" s="7" t="n">
        <v>46124</v>
      </c>
      <c r="J11" s="6" t="n">
        <f aca="false">IF(I11="","",I11-B11)</f>
        <v>1</v>
      </c>
      <c r="K11" s="6" t="n">
        <f aca="false">VLOOKUP(E11,Parametros!$D$3:$E$6,2,FALSE())</f>
        <v>2</v>
      </c>
      <c r="L11" s="6" t="str">
        <f aca="false">IF(J11="","",IF(J11&lt;=K11,"Dentro do prazo","Fora do prazo"))</f>
        <v>Dentro do prazo</v>
      </c>
    </row>
    <row r="12" customFormat="false" ht="15" hidden="false" customHeight="false" outlineLevel="0" collapsed="false">
      <c r="A12" s="6" t="s">
        <v>58</v>
      </c>
      <c r="B12" s="7" t="n">
        <v>46130</v>
      </c>
      <c r="C12" s="8" t="s">
        <v>44</v>
      </c>
      <c r="D12" s="8" t="s">
        <v>59</v>
      </c>
      <c r="E12" s="6" t="s">
        <v>34</v>
      </c>
      <c r="F12" s="6" t="s">
        <v>60</v>
      </c>
      <c r="G12" s="6" t="s">
        <v>30</v>
      </c>
      <c r="H12" s="8" t="str">
        <f aca="false">VLOOKUP(G12,Parametros!$A$3:$B$7,2,FALSE())</f>
        <v>Elisa Rocha</v>
      </c>
      <c r="I12" s="6"/>
      <c r="J12" s="6" t="str">
        <f aca="false">IF(I12="","",I12-B12)</f>
        <v/>
      </c>
      <c r="K12" s="6" t="n">
        <f aca="false">VLOOKUP(E12,Parametros!$D$3:$E$6,2,FALSE())</f>
        <v>10</v>
      </c>
      <c r="L12" s="6" t="str">
        <f aca="false">IF(J12="","",IF(J12&lt;=K12,"Dentro do prazo","Fora do prazo"))</f>
        <v/>
      </c>
    </row>
    <row r="13" customFormat="false" ht="15" hidden="false" customHeight="false" outlineLevel="0" collapsed="false">
      <c r="A13" s="6" t="s">
        <v>61</v>
      </c>
      <c r="B13" s="7" t="n">
        <v>46131</v>
      </c>
      <c r="C13" s="8" t="s">
        <v>32</v>
      </c>
      <c r="D13" s="8" t="s">
        <v>41</v>
      </c>
      <c r="E13" s="6" t="s">
        <v>52</v>
      </c>
      <c r="F13" s="6" t="s">
        <v>29</v>
      </c>
      <c r="G13" s="6" t="s">
        <v>62</v>
      </c>
      <c r="H13" s="8" t="str">
        <f aca="false">VLOOKUP(G13,Parametros!$A$3:$B$7,2,FALSE())</f>
        <v>Diego Alves</v>
      </c>
      <c r="I13" s="7" t="n">
        <v>46136</v>
      </c>
      <c r="J13" s="6" t="n">
        <f aca="false">IF(I13="","",I13-B13)</f>
        <v>5</v>
      </c>
      <c r="K13" s="6" t="n">
        <f aca="false">VLOOKUP(E13,Parametros!$D$3:$E$6,2,FALSE())</f>
        <v>2</v>
      </c>
      <c r="L13" s="6" t="str">
        <f aca="false">IF(J13="","",IF(J13&lt;=K13,"Dentro do prazo","Fora do prazo"))</f>
        <v>Fora do prazo</v>
      </c>
    </row>
    <row r="14" customFormat="false" ht="15" hidden="false" customHeight="false" outlineLevel="0" collapsed="false">
      <c r="A14" s="6" t="s">
        <v>63</v>
      </c>
      <c r="B14" s="7" t="n">
        <v>46136</v>
      </c>
      <c r="C14" s="8" t="s">
        <v>47</v>
      </c>
      <c r="D14" s="8" t="s">
        <v>64</v>
      </c>
      <c r="E14" s="6" t="s">
        <v>28</v>
      </c>
      <c r="F14" s="6" t="s">
        <v>29</v>
      </c>
      <c r="G14" s="6" t="s">
        <v>39</v>
      </c>
      <c r="H14" s="8" t="str">
        <f aca="false">VLOOKUP(G14,Parametros!$A$3:$B$7,2,FALSE())</f>
        <v>Ana Souza</v>
      </c>
      <c r="I14" s="7" t="n">
        <v>46138</v>
      </c>
      <c r="J14" s="6" t="n">
        <f aca="false">IF(I14="","",I14-B14)</f>
        <v>2</v>
      </c>
      <c r="K14" s="6" t="n">
        <f aca="false">VLOOKUP(E14,Parametros!$D$3:$E$6,2,FALSE())</f>
        <v>5</v>
      </c>
      <c r="L14" s="6" t="str">
        <f aca="false">IF(J14="","",IF(J14&lt;=K14,"Dentro do prazo","Fora do prazo"))</f>
        <v>Dentro do prazo</v>
      </c>
    </row>
    <row r="15" customFormat="false" ht="15" hidden="false" customHeight="false" outlineLevel="0" collapsed="false">
      <c r="A15" s="6" t="s">
        <v>65</v>
      </c>
      <c r="B15" s="7" t="n">
        <v>46137</v>
      </c>
      <c r="C15" s="8" t="s">
        <v>26</v>
      </c>
      <c r="D15" s="8" t="s">
        <v>57</v>
      </c>
      <c r="E15" s="6" t="s">
        <v>34</v>
      </c>
      <c r="F15" s="6" t="s">
        <v>29</v>
      </c>
      <c r="G15" s="6" t="s">
        <v>30</v>
      </c>
      <c r="H15" s="8" t="str">
        <f aca="false">VLOOKUP(G15,Parametros!$A$3:$B$7,2,FALSE())</f>
        <v>Elisa Rocha</v>
      </c>
      <c r="I15" s="7" t="n">
        <v>46147</v>
      </c>
      <c r="J15" s="6" t="n">
        <f aca="false">IF(I15="","",I15-B15)</f>
        <v>10</v>
      </c>
      <c r="K15" s="6" t="n">
        <f aca="false">VLOOKUP(E15,Parametros!$D$3:$E$6,2,FALSE())</f>
        <v>10</v>
      </c>
      <c r="L15" s="6" t="str">
        <f aca="false">IF(J15="","",IF(J15&lt;=K15,"Dentro do prazo","Fora do prazo"))</f>
        <v>Dentro do prazo</v>
      </c>
    </row>
    <row r="16" customFormat="false" ht="15" hidden="false" customHeight="false" outlineLevel="0" collapsed="false">
      <c r="A16" s="6" t="s">
        <v>66</v>
      </c>
      <c r="B16" s="7" t="n">
        <v>46139</v>
      </c>
      <c r="C16" s="8" t="s">
        <v>26</v>
      </c>
      <c r="D16" s="8" t="s">
        <v>51</v>
      </c>
      <c r="E16" s="6" t="s">
        <v>28</v>
      </c>
      <c r="F16" s="6" t="s">
        <v>29</v>
      </c>
      <c r="G16" s="6" t="s">
        <v>39</v>
      </c>
      <c r="H16" s="8" t="str">
        <f aca="false">VLOOKUP(G16,Parametros!$A$3:$B$7,2,FALSE())</f>
        <v>Ana Souza</v>
      </c>
      <c r="I16" s="7" t="n">
        <v>46148</v>
      </c>
      <c r="J16" s="6" t="n">
        <f aca="false">IF(I16="","",I16-B16)</f>
        <v>9</v>
      </c>
      <c r="K16" s="6" t="n">
        <f aca="false">VLOOKUP(E16,Parametros!$D$3:$E$6,2,FALSE())</f>
        <v>5</v>
      </c>
      <c r="L16" s="6" t="str">
        <f aca="false">IF(J16="","",IF(J16&lt;=K16,"Dentro do prazo","Fora do prazo"))</f>
        <v>Fora do prazo</v>
      </c>
    </row>
    <row r="17" customFormat="false" ht="15" hidden="false" customHeight="false" outlineLevel="0" collapsed="false">
      <c r="A17" s="6" t="s">
        <v>67</v>
      </c>
      <c r="B17" s="7" t="n">
        <v>46140</v>
      </c>
      <c r="C17" s="8" t="s">
        <v>26</v>
      </c>
      <c r="D17" s="8" t="s">
        <v>68</v>
      </c>
      <c r="E17" s="6" t="s">
        <v>34</v>
      </c>
      <c r="F17" s="6" t="s">
        <v>60</v>
      </c>
      <c r="G17" s="6" t="s">
        <v>35</v>
      </c>
      <c r="H17" s="8" t="str">
        <f aca="false">VLOOKUP(G17,Parametros!$A$3:$B$7,2,FALSE())</f>
        <v>Carla Mendes</v>
      </c>
      <c r="I17" s="6"/>
      <c r="J17" s="6" t="str">
        <f aca="false">IF(I17="","",I17-B17)</f>
        <v/>
      </c>
      <c r="K17" s="6" t="n">
        <f aca="false">VLOOKUP(E17,Parametros!$D$3:$E$6,2,FALSE())</f>
        <v>10</v>
      </c>
      <c r="L17" s="6" t="str">
        <f aca="false">IF(J17="","",IF(J17&lt;=K17,"Dentro do prazo","Fora do prazo"))</f>
        <v/>
      </c>
    </row>
    <row r="18" customFormat="false" ht="15" hidden="false" customHeight="false" outlineLevel="0" collapsed="false">
      <c r="A18" s="6" t="s">
        <v>69</v>
      </c>
      <c r="B18" s="7" t="n">
        <v>46141</v>
      </c>
      <c r="C18" s="8" t="s">
        <v>32</v>
      </c>
      <c r="D18" s="8" t="s">
        <v>33</v>
      </c>
      <c r="E18" s="6" t="s">
        <v>34</v>
      </c>
      <c r="F18" s="6" t="s">
        <v>29</v>
      </c>
      <c r="G18" s="6" t="s">
        <v>35</v>
      </c>
      <c r="H18" s="8" t="str">
        <f aca="false">VLOOKUP(G18,Parametros!$A$3:$B$7,2,FALSE())</f>
        <v>Carla Mendes</v>
      </c>
      <c r="I18" s="7" t="n">
        <v>46161</v>
      </c>
      <c r="J18" s="6" t="n">
        <f aca="false">IF(I18="","",I18-B18)</f>
        <v>20</v>
      </c>
      <c r="K18" s="6" t="n">
        <f aca="false">VLOOKUP(E18,Parametros!$D$3:$E$6,2,FALSE())</f>
        <v>10</v>
      </c>
      <c r="L18" s="6" t="str">
        <f aca="false">IF(J18="","",IF(J18&lt;=K18,"Dentro do prazo","Fora do prazo"))</f>
        <v>Fora do prazo</v>
      </c>
    </row>
    <row r="19" customFormat="false" ht="15" hidden="false" customHeight="false" outlineLevel="0" collapsed="false">
      <c r="A19" s="6" t="s">
        <v>70</v>
      </c>
      <c r="B19" s="7" t="n">
        <v>46143</v>
      </c>
      <c r="C19" s="8" t="s">
        <v>32</v>
      </c>
      <c r="D19" s="8" t="s">
        <v>41</v>
      </c>
      <c r="E19" s="6" t="s">
        <v>52</v>
      </c>
      <c r="F19" s="6" t="s">
        <v>29</v>
      </c>
      <c r="G19" s="6" t="s">
        <v>62</v>
      </c>
      <c r="H19" s="8" t="str">
        <f aca="false">VLOOKUP(G19,Parametros!$A$3:$B$7,2,FALSE())</f>
        <v>Diego Alves</v>
      </c>
      <c r="I19" s="7" t="n">
        <v>46148</v>
      </c>
      <c r="J19" s="6" t="n">
        <f aca="false">IF(I19="","",I19-B19)</f>
        <v>5</v>
      </c>
      <c r="K19" s="6" t="n">
        <f aca="false">VLOOKUP(E19,Parametros!$D$3:$E$6,2,FALSE())</f>
        <v>2</v>
      </c>
      <c r="L19" s="6" t="str">
        <f aca="false">IF(J19="","",IF(J19&lt;=K19,"Dentro do prazo","Fora do prazo"))</f>
        <v>Fora do prazo</v>
      </c>
    </row>
    <row r="20" customFormat="false" ht="15" hidden="false" customHeight="false" outlineLevel="0" collapsed="false">
      <c r="A20" s="6" t="s">
        <v>71</v>
      </c>
      <c r="B20" s="7" t="n">
        <v>46149</v>
      </c>
      <c r="C20" s="8" t="s">
        <v>26</v>
      </c>
      <c r="D20" s="8" t="s">
        <v>57</v>
      </c>
      <c r="E20" s="6" t="s">
        <v>28</v>
      </c>
      <c r="F20" s="6" t="s">
        <v>29</v>
      </c>
      <c r="G20" s="6" t="s">
        <v>62</v>
      </c>
      <c r="H20" s="8" t="str">
        <f aca="false">VLOOKUP(G20,Parametros!$A$3:$B$7,2,FALSE())</f>
        <v>Diego Alves</v>
      </c>
      <c r="I20" s="7" t="n">
        <v>46150</v>
      </c>
      <c r="J20" s="6" t="n">
        <f aca="false">IF(I20="","",I20-B20)</f>
        <v>1</v>
      </c>
      <c r="K20" s="6" t="n">
        <f aca="false">VLOOKUP(E20,Parametros!$D$3:$E$6,2,FALSE())</f>
        <v>5</v>
      </c>
      <c r="L20" s="6" t="str">
        <f aca="false">IF(J20="","",IF(J20&lt;=K20,"Dentro do prazo","Fora do prazo"))</f>
        <v>Dentro do prazo</v>
      </c>
    </row>
    <row r="21" customFormat="false" ht="15" hidden="false" customHeight="false" outlineLevel="0" collapsed="false">
      <c r="A21" s="6" t="s">
        <v>72</v>
      </c>
      <c r="B21" s="7" t="n">
        <v>46150</v>
      </c>
      <c r="C21" s="8" t="s">
        <v>26</v>
      </c>
      <c r="D21" s="8" t="s">
        <v>51</v>
      </c>
      <c r="E21" s="6" t="s">
        <v>34</v>
      </c>
      <c r="F21" s="6" t="s">
        <v>29</v>
      </c>
      <c r="G21" s="6" t="s">
        <v>39</v>
      </c>
      <c r="H21" s="8" t="str">
        <f aca="false">VLOOKUP(G21,Parametros!$A$3:$B$7,2,FALSE())</f>
        <v>Ana Souza</v>
      </c>
      <c r="I21" s="7" t="n">
        <v>46168</v>
      </c>
      <c r="J21" s="6" t="n">
        <f aca="false">IF(I21="","",I21-B21)</f>
        <v>18</v>
      </c>
      <c r="K21" s="6" t="n">
        <f aca="false">VLOOKUP(E21,Parametros!$D$3:$E$6,2,FALSE())</f>
        <v>10</v>
      </c>
      <c r="L21" s="6" t="str">
        <f aca="false">IF(J21="","",IF(J21&lt;=K21,"Dentro do prazo","Fora do prazo"))</f>
        <v>Fora do prazo</v>
      </c>
    </row>
    <row r="22" customFormat="false" ht="15" hidden="false" customHeight="false" outlineLevel="0" collapsed="false">
      <c r="A22" s="6" t="s">
        <v>73</v>
      </c>
      <c r="B22" s="7" t="n">
        <v>46152</v>
      </c>
      <c r="C22" s="8" t="s">
        <v>44</v>
      </c>
      <c r="D22" s="8" t="s">
        <v>45</v>
      </c>
      <c r="E22" s="6" t="s">
        <v>34</v>
      </c>
      <c r="F22" s="6" t="s">
        <v>29</v>
      </c>
      <c r="G22" s="6" t="s">
        <v>39</v>
      </c>
      <c r="H22" s="8" t="str">
        <f aca="false">VLOOKUP(G22,Parametros!$A$3:$B$7,2,FALSE())</f>
        <v>Ana Souza</v>
      </c>
      <c r="I22" s="7" t="n">
        <v>46156</v>
      </c>
      <c r="J22" s="6" t="n">
        <f aca="false">IF(I22="","",I22-B22)</f>
        <v>4</v>
      </c>
      <c r="K22" s="6" t="n">
        <f aca="false">VLOOKUP(E22,Parametros!$D$3:$E$6,2,FALSE())</f>
        <v>10</v>
      </c>
      <c r="L22" s="6" t="str">
        <f aca="false">IF(J22="","",IF(J22&lt;=K22,"Dentro do prazo","Fora do prazo"))</f>
        <v>Dentro do prazo</v>
      </c>
    </row>
    <row r="23" customFormat="false" ht="15" hidden="false" customHeight="false" outlineLevel="0" collapsed="false">
      <c r="A23" s="6" t="s">
        <v>74</v>
      </c>
      <c r="B23" s="7" t="n">
        <v>46163</v>
      </c>
      <c r="C23" s="8" t="s">
        <v>37</v>
      </c>
      <c r="D23" s="8" t="s">
        <v>75</v>
      </c>
      <c r="E23" s="6" t="s">
        <v>34</v>
      </c>
      <c r="F23" s="6" t="s">
        <v>29</v>
      </c>
      <c r="G23" s="6" t="s">
        <v>35</v>
      </c>
      <c r="H23" s="8" t="str">
        <f aca="false">VLOOKUP(G23,Parametros!$A$3:$B$7,2,FALSE())</f>
        <v>Carla Mendes</v>
      </c>
      <c r="I23" s="7" t="n">
        <v>46176</v>
      </c>
      <c r="J23" s="6" t="n">
        <f aca="false">IF(I23="","",I23-B23)</f>
        <v>13</v>
      </c>
      <c r="K23" s="6" t="n">
        <f aca="false">VLOOKUP(E23,Parametros!$D$3:$E$6,2,FALSE())</f>
        <v>10</v>
      </c>
      <c r="L23" s="6" t="str">
        <f aca="false">IF(J23="","",IF(J23&lt;=K23,"Dentro do prazo","Fora do prazo"))</f>
        <v>Fora do prazo</v>
      </c>
    </row>
    <row r="24" customFormat="false" ht="15" hidden="false" customHeight="false" outlineLevel="0" collapsed="false">
      <c r="A24" s="6" t="s">
        <v>76</v>
      </c>
      <c r="B24" s="7" t="n">
        <v>46167</v>
      </c>
      <c r="C24" s="8" t="s">
        <v>44</v>
      </c>
      <c r="D24" s="8" t="s">
        <v>55</v>
      </c>
      <c r="E24" s="6" t="s">
        <v>34</v>
      </c>
      <c r="F24" s="6" t="s">
        <v>29</v>
      </c>
      <c r="G24" s="6" t="s">
        <v>42</v>
      </c>
      <c r="H24" s="8" t="str">
        <f aca="false">VLOOKUP(G24,Parametros!$A$3:$B$7,2,FALSE())</f>
        <v>Bruno Lima</v>
      </c>
      <c r="I24" s="7" t="n">
        <v>46176</v>
      </c>
      <c r="J24" s="6" t="n">
        <f aca="false">IF(I24="","",I24-B24)</f>
        <v>9</v>
      </c>
      <c r="K24" s="6" t="n">
        <f aca="false">VLOOKUP(E24,Parametros!$D$3:$E$6,2,FALSE())</f>
        <v>10</v>
      </c>
      <c r="L24" s="6" t="str">
        <f aca="false">IF(J24="","",IF(J24&lt;=K24,"Dentro do prazo","Fora do prazo"))</f>
        <v>Dentro do prazo</v>
      </c>
    </row>
    <row r="25" customFormat="false" ht="15" hidden="false" customHeight="false" outlineLevel="0" collapsed="false">
      <c r="A25" s="6" t="s">
        <v>77</v>
      </c>
      <c r="B25" s="7" t="n">
        <v>46174</v>
      </c>
      <c r="C25" s="8" t="s">
        <v>47</v>
      </c>
      <c r="D25" s="8" t="s">
        <v>48</v>
      </c>
      <c r="E25" s="6" t="s">
        <v>34</v>
      </c>
      <c r="F25" s="6" t="s">
        <v>29</v>
      </c>
      <c r="G25" s="6" t="s">
        <v>62</v>
      </c>
      <c r="H25" s="8" t="str">
        <f aca="false">VLOOKUP(G25,Parametros!$A$3:$B$7,2,FALSE())</f>
        <v>Diego Alves</v>
      </c>
      <c r="I25" s="7" t="n">
        <v>46183</v>
      </c>
      <c r="J25" s="6" t="n">
        <f aca="false">IF(I25="","",I25-B25)</f>
        <v>9</v>
      </c>
      <c r="K25" s="6" t="n">
        <f aca="false">VLOOKUP(E25,Parametros!$D$3:$E$6,2,FALSE())</f>
        <v>10</v>
      </c>
      <c r="L25" s="6" t="str">
        <f aca="false">IF(J25="","",IF(J25&lt;=K25,"Dentro do prazo","Fora do prazo"))</f>
        <v>Dentro do prazo</v>
      </c>
    </row>
    <row r="26" customFormat="false" ht="15" hidden="false" customHeight="false" outlineLevel="0" collapsed="false">
      <c r="A26" s="6" t="s">
        <v>78</v>
      </c>
      <c r="B26" s="7" t="n">
        <v>46177</v>
      </c>
      <c r="C26" s="8" t="s">
        <v>26</v>
      </c>
      <c r="D26" s="8" t="s">
        <v>27</v>
      </c>
      <c r="E26" s="6" t="s">
        <v>34</v>
      </c>
      <c r="F26" s="6" t="s">
        <v>29</v>
      </c>
      <c r="G26" s="6" t="s">
        <v>42</v>
      </c>
      <c r="H26" s="8" t="str">
        <f aca="false">VLOOKUP(G26,Parametros!$A$3:$B$7,2,FALSE())</f>
        <v>Bruno Lima</v>
      </c>
      <c r="I26" s="7" t="n">
        <v>46179</v>
      </c>
      <c r="J26" s="6" t="n">
        <f aca="false">IF(I26="","",I26-B26)</f>
        <v>2</v>
      </c>
      <c r="K26" s="6" t="n">
        <f aca="false">VLOOKUP(E26,Parametros!$D$3:$E$6,2,FALSE())</f>
        <v>10</v>
      </c>
      <c r="L26" s="6" t="str">
        <f aca="false">IF(J26="","",IF(J26&lt;=K26,"Dentro do prazo","Fora do prazo"))</f>
        <v>Dentro do prazo</v>
      </c>
    </row>
    <row r="27" customFormat="false" ht="15" hidden="false" customHeight="false" outlineLevel="0" collapsed="false">
      <c r="A27" s="6" t="s">
        <v>79</v>
      </c>
      <c r="B27" s="7" t="n">
        <v>46181</v>
      </c>
      <c r="C27" s="8" t="s">
        <v>44</v>
      </c>
      <c r="D27" s="8" t="s">
        <v>59</v>
      </c>
      <c r="E27" s="6" t="s">
        <v>28</v>
      </c>
      <c r="F27" s="6" t="s">
        <v>29</v>
      </c>
      <c r="G27" s="6" t="s">
        <v>62</v>
      </c>
      <c r="H27" s="8" t="str">
        <f aca="false">VLOOKUP(G27,Parametros!$A$3:$B$7,2,FALSE())</f>
        <v>Diego Alves</v>
      </c>
      <c r="I27" s="7" t="n">
        <v>46192</v>
      </c>
      <c r="J27" s="6" t="n">
        <f aca="false">IF(I27="","",I27-B27)</f>
        <v>11</v>
      </c>
      <c r="K27" s="6" t="n">
        <f aca="false">VLOOKUP(E27,Parametros!$D$3:$E$6,2,FALSE())</f>
        <v>5</v>
      </c>
      <c r="L27" s="6" t="str">
        <f aca="false">IF(J27="","",IF(J27&lt;=K27,"Dentro do prazo","Fora do prazo"))</f>
        <v>Fora do prazo</v>
      </c>
    </row>
    <row r="28" customFormat="false" ht="15" hidden="false" customHeight="false" outlineLevel="0" collapsed="false">
      <c r="A28" s="6" t="s">
        <v>80</v>
      </c>
      <c r="B28" s="7" t="n">
        <v>46185</v>
      </c>
      <c r="C28" s="8" t="s">
        <v>44</v>
      </c>
      <c r="D28" s="8" t="s">
        <v>81</v>
      </c>
      <c r="E28" s="6" t="s">
        <v>82</v>
      </c>
      <c r="F28" s="6" t="s">
        <v>53</v>
      </c>
      <c r="G28" s="6" t="s">
        <v>42</v>
      </c>
      <c r="H28" s="8" t="str">
        <f aca="false">VLOOKUP(G28,Parametros!$A$3:$B$7,2,FALSE())</f>
        <v>Bruno Lima</v>
      </c>
      <c r="I28" s="7" t="n">
        <v>46186</v>
      </c>
      <c r="J28" s="6" t="n">
        <f aca="false">IF(I28="","",I28-B28)</f>
        <v>1</v>
      </c>
      <c r="K28" s="6" t="n">
        <f aca="false">VLOOKUP(E28,Parametros!$D$3:$E$6,2,FALSE())</f>
        <v>1</v>
      </c>
      <c r="L28" s="6" t="str">
        <f aca="false">IF(J28="","",IF(J28&lt;=K28,"Dentro do prazo","Fora do prazo"))</f>
        <v>Dentro do prazo</v>
      </c>
    </row>
    <row r="29" customFormat="false" ht="15" hidden="false" customHeight="false" outlineLevel="0" collapsed="false">
      <c r="A29" s="6" t="s">
        <v>83</v>
      </c>
      <c r="B29" s="7" t="n">
        <v>46187</v>
      </c>
      <c r="C29" s="8" t="s">
        <v>32</v>
      </c>
      <c r="D29" s="8" t="s">
        <v>84</v>
      </c>
      <c r="E29" s="6" t="s">
        <v>28</v>
      </c>
      <c r="F29" s="6" t="s">
        <v>29</v>
      </c>
      <c r="G29" s="6" t="s">
        <v>42</v>
      </c>
      <c r="H29" s="8" t="str">
        <f aca="false">VLOOKUP(G29,Parametros!$A$3:$B$7,2,FALSE())</f>
        <v>Bruno Lima</v>
      </c>
      <c r="I29" s="7" t="n">
        <v>46189</v>
      </c>
      <c r="J29" s="6" t="n">
        <f aca="false">IF(I29="","",I29-B29)</f>
        <v>2</v>
      </c>
      <c r="K29" s="6" t="n">
        <f aca="false">VLOOKUP(E29,Parametros!$D$3:$E$6,2,FALSE())</f>
        <v>5</v>
      </c>
      <c r="L29" s="6" t="str">
        <f aca="false">IF(J29="","",IF(J29&lt;=K29,"Dentro do prazo","Fora do prazo"))</f>
        <v>Dentro do prazo</v>
      </c>
    </row>
    <row r="30" customFormat="false" ht="15" hidden="false" customHeight="false" outlineLevel="0" collapsed="false">
      <c r="A30" s="6" t="s">
        <v>85</v>
      </c>
      <c r="B30" s="7" t="n">
        <v>46187</v>
      </c>
      <c r="C30" s="8" t="s">
        <v>26</v>
      </c>
      <c r="D30" s="8" t="s">
        <v>68</v>
      </c>
      <c r="E30" s="6" t="s">
        <v>82</v>
      </c>
      <c r="F30" s="6" t="s">
        <v>29</v>
      </c>
      <c r="G30" s="6" t="s">
        <v>42</v>
      </c>
      <c r="H30" s="8" t="str">
        <f aca="false">VLOOKUP(G30,Parametros!$A$3:$B$7,2,FALSE())</f>
        <v>Bruno Lima</v>
      </c>
      <c r="I30" s="7" t="n">
        <v>46188</v>
      </c>
      <c r="J30" s="6" t="n">
        <f aca="false">IF(I30="","",I30-B30)</f>
        <v>1</v>
      </c>
      <c r="K30" s="6" t="n">
        <f aca="false">VLOOKUP(E30,Parametros!$D$3:$E$6,2,FALSE())</f>
        <v>1</v>
      </c>
      <c r="L30" s="6" t="str">
        <f aca="false">IF(J30="","",IF(J30&lt;=K30,"Dentro do prazo","Fora do prazo"))</f>
        <v>Dentro do prazo</v>
      </c>
    </row>
    <row r="31" customFormat="false" ht="15" hidden="false" customHeight="false" outlineLevel="0" collapsed="false">
      <c r="A31" s="6" t="s">
        <v>86</v>
      </c>
      <c r="B31" s="7" t="n">
        <v>46199</v>
      </c>
      <c r="C31" s="8" t="s">
        <v>44</v>
      </c>
      <c r="D31" s="8" t="s">
        <v>81</v>
      </c>
      <c r="E31" s="6" t="s">
        <v>52</v>
      </c>
      <c r="F31" s="6" t="s">
        <v>29</v>
      </c>
      <c r="G31" s="6" t="s">
        <v>62</v>
      </c>
      <c r="H31" s="8" t="str">
        <f aca="false">VLOOKUP(G31,Parametros!$A$3:$B$7,2,FALSE())</f>
        <v>Diego Alves</v>
      </c>
      <c r="I31" s="7" t="n">
        <v>46200</v>
      </c>
      <c r="J31" s="6" t="n">
        <f aca="false">IF(I31="","",I31-B31)</f>
        <v>1</v>
      </c>
      <c r="K31" s="6" t="n">
        <f aca="false">VLOOKUP(E31,Parametros!$D$3:$E$6,2,FALSE())</f>
        <v>2</v>
      </c>
      <c r="L31" s="6" t="str">
        <f aca="false">IF(J31="","",IF(J31&lt;=K31,"Dentro do prazo","Fora do prazo"))</f>
        <v>Dentro do prazo</v>
      </c>
    </row>
    <row r="32" customFormat="false" ht="15" hidden="false" customHeight="false" outlineLevel="0" collapsed="false">
      <c r="A32" s="6" t="s">
        <v>87</v>
      </c>
      <c r="B32" s="7" t="n">
        <v>46199</v>
      </c>
      <c r="C32" s="8" t="s">
        <v>47</v>
      </c>
      <c r="D32" s="8" t="s">
        <v>88</v>
      </c>
      <c r="E32" s="6" t="s">
        <v>34</v>
      </c>
      <c r="F32" s="6" t="s">
        <v>89</v>
      </c>
      <c r="G32" s="6" t="s">
        <v>62</v>
      </c>
      <c r="H32" s="8" t="str">
        <f aca="false">VLOOKUP(G32,Parametros!$A$3:$B$7,2,FALSE())</f>
        <v>Diego Alves</v>
      </c>
      <c r="I32" s="6"/>
      <c r="J32" s="6" t="str">
        <f aca="false">IF(I32="","",I32-B32)</f>
        <v/>
      </c>
      <c r="K32" s="6" t="n">
        <f aca="false">VLOOKUP(E32,Parametros!$D$3:$E$6,2,FALSE())</f>
        <v>10</v>
      </c>
      <c r="L32" s="6" t="str">
        <f aca="false">IF(J32="","",IF(J32&lt;=K32,"Dentro do prazo","Fora do prazo"))</f>
        <v/>
      </c>
    </row>
    <row r="33" customFormat="false" ht="15" hidden="false" customHeight="false" outlineLevel="0" collapsed="false">
      <c r="A33" s="6" t="s">
        <v>90</v>
      </c>
      <c r="B33" s="7" t="n">
        <v>46213</v>
      </c>
      <c r="C33" s="8" t="s">
        <v>32</v>
      </c>
      <c r="D33" s="8" t="s">
        <v>41</v>
      </c>
      <c r="E33" s="6" t="s">
        <v>28</v>
      </c>
      <c r="F33" s="6" t="s">
        <v>29</v>
      </c>
      <c r="G33" s="6" t="s">
        <v>42</v>
      </c>
      <c r="H33" s="8" t="str">
        <f aca="false">VLOOKUP(G33,Parametros!$A$3:$B$7,2,FALSE())</f>
        <v>Bruno Lima</v>
      </c>
      <c r="I33" s="7" t="n">
        <v>46218</v>
      </c>
      <c r="J33" s="6" t="n">
        <f aca="false">IF(I33="","",I33-B33)</f>
        <v>5</v>
      </c>
      <c r="K33" s="6" t="n">
        <f aca="false">VLOOKUP(E33,Parametros!$D$3:$E$6,2,FALSE())</f>
        <v>5</v>
      </c>
      <c r="L33" s="6" t="str">
        <f aca="false">IF(J33="","",IF(J33&lt;=K33,"Dentro do prazo","Fora do prazo"))</f>
        <v>Dentro do prazo</v>
      </c>
    </row>
    <row r="34" customFormat="false" ht="15" hidden="false" customHeight="false" outlineLevel="0" collapsed="false">
      <c r="A34" s="6" t="s">
        <v>91</v>
      </c>
      <c r="B34" s="7" t="n">
        <v>46219</v>
      </c>
      <c r="C34" s="8" t="s">
        <v>44</v>
      </c>
      <c r="D34" s="8" t="s">
        <v>45</v>
      </c>
      <c r="E34" s="6" t="s">
        <v>52</v>
      </c>
      <c r="F34" s="6" t="s">
        <v>29</v>
      </c>
      <c r="G34" s="6" t="s">
        <v>39</v>
      </c>
      <c r="H34" s="8" t="str">
        <f aca="false">VLOOKUP(G34,Parametros!$A$3:$B$7,2,FALSE())</f>
        <v>Ana Souza</v>
      </c>
      <c r="I34" s="7" t="n">
        <v>46220</v>
      </c>
      <c r="J34" s="6" t="n">
        <f aca="false">IF(I34="","",I34-B34)</f>
        <v>1</v>
      </c>
      <c r="K34" s="6" t="n">
        <f aca="false">VLOOKUP(E34,Parametros!$D$3:$E$6,2,FALSE())</f>
        <v>2</v>
      </c>
      <c r="L34" s="6" t="str">
        <f aca="false">IF(J34="","",IF(J34&lt;=K34,"Dentro do prazo","Fora do prazo"))</f>
        <v>Dentro do prazo</v>
      </c>
    </row>
    <row r="35" customFormat="false" ht="15" hidden="false" customHeight="false" outlineLevel="0" collapsed="false">
      <c r="A35" s="6" t="s">
        <v>92</v>
      </c>
      <c r="B35" s="7" t="n">
        <v>46220</v>
      </c>
      <c r="C35" s="8" t="s">
        <v>32</v>
      </c>
      <c r="D35" s="8" t="s">
        <v>33</v>
      </c>
      <c r="E35" s="6" t="s">
        <v>82</v>
      </c>
      <c r="F35" s="6" t="s">
        <v>29</v>
      </c>
      <c r="G35" s="6" t="s">
        <v>39</v>
      </c>
      <c r="H35" s="8" t="str">
        <f aca="false">VLOOKUP(G35,Parametros!$A$3:$B$7,2,FALSE())</f>
        <v>Ana Souza</v>
      </c>
      <c r="I35" s="7" t="n">
        <v>46221</v>
      </c>
      <c r="J35" s="6" t="n">
        <f aca="false">IF(I35="","",I35-B35)</f>
        <v>1</v>
      </c>
      <c r="K35" s="6" t="n">
        <f aca="false">VLOOKUP(E35,Parametros!$D$3:$E$6,2,FALSE())</f>
        <v>1</v>
      </c>
      <c r="L35" s="6" t="str">
        <f aca="false">IF(J35="","",IF(J35&lt;=K35,"Dentro do prazo","Fora do prazo"))</f>
        <v>Dentro do prazo</v>
      </c>
    </row>
    <row r="36" customFormat="false" ht="15" hidden="false" customHeight="false" outlineLevel="0" collapsed="false">
      <c r="A36" s="6" t="s">
        <v>93</v>
      </c>
      <c r="B36" s="7" t="n">
        <v>46221</v>
      </c>
      <c r="C36" s="8" t="s">
        <v>44</v>
      </c>
      <c r="D36" s="8" t="s">
        <v>45</v>
      </c>
      <c r="E36" s="6" t="s">
        <v>34</v>
      </c>
      <c r="F36" s="6" t="s">
        <v>60</v>
      </c>
      <c r="G36" s="6" t="s">
        <v>62</v>
      </c>
      <c r="H36" s="8" t="str">
        <f aca="false">VLOOKUP(G36,Parametros!$A$3:$B$7,2,FALSE())</f>
        <v>Diego Alves</v>
      </c>
      <c r="I36" s="6"/>
      <c r="J36" s="6" t="str">
        <f aca="false">IF(I36="","",I36-B36)</f>
        <v/>
      </c>
      <c r="K36" s="6" t="n">
        <f aca="false">VLOOKUP(E36,Parametros!$D$3:$E$6,2,FALSE())</f>
        <v>10</v>
      </c>
      <c r="L36" s="6" t="str">
        <f aca="false">IF(J36="","",IF(J36&lt;=K36,"Dentro do prazo","Fora do prazo"))</f>
        <v/>
      </c>
    </row>
    <row r="37" customFormat="false" ht="15" hidden="false" customHeight="false" outlineLevel="0" collapsed="false">
      <c r="A37" s="6" t="s">
        <v>94</v>
      </c>
      <c r="B37" s="7" t="n">
        <v>46223</v>
      </c>
      <c r="C37" s="8" t="s">
        <v>32</v>
      </c>
      <c r="D37" s="8" t="s">
        <v>84</v>
      </c>
      <c r="E37" s="6" t="s">
        <v>52</v>
      </c>
      <c r="F37" s="6" t="s">
        <v>29</v>
      </c>
      <c r="G37" s="6" t="s">
        <v>42</v>
      </c>
      <c r="H37" s="8" t="str">
        <f aca="false">VLOOKUP(G37,Parametros!$A$3:$B$7,2,FALSE())</f>
        <v>Bruno Lima</v>
      </c>
      <c r="I37" s="7" t="n">
        <v>46224</v>
      </c>
      <c r="J37" s="6" t="n">
        <f aca="false">IF(I37="","",I37-B37)</f>
        <v>1</v>
      </c>
      <c r="K37" s="6" t="n">
        <f aca="false">VLOOKUP(E37,Parametros!$D$3:$E$6,2,FALSE())</f>
        <v>2</v>
      </c>
      <c r="L37" s="6" t="str">
        <f aca="false">IF(J37="","",IF(J37&lt;=K37,"Dentro do prazo","Fora do prazo"))</f>
        <v>Dentro do prazo</v>
      </c>
    </row>
    <row r="38" customFormat="false" ht="15" hidden="false" customHeight="false" outlineLevel="0" collapsed="false">
      <c r="A38" s="6" t="s">
        <v>95</v>
      </c>
      <c r="B38" s="7" t="n">
        <v>46224</v>
      </c>
      <c r="C38" s="8" t="s">
        <v>37</v>
      </c>
      <c r="D38" s="8" t="s">
        <v>38</v>
      </c>
      <c r="E38" s="6" t="s">
        <v>28</v>
      </c>
      <c r="F38" s="6" t="s">
        <v>29</v>
      </c>
      <c r="G38" s="6" t="s">
        <v>62</v>
      </c>
      <c r="H38" s="8" t="str">
        <f aca="false">VLOOKUP(G38,Parametros!$A$3:$B$7,2,FALSE())</f>
        <v>Diego Alves</v>
      </c>
      <c r="I38" s="7" t="n">
        <v>46229</v>
      </c>
      <c r="J38" s="6" t="n">
        <f aca="false">IF(I38="","",I38-B38)</f>
        <v>5</v>
      </c>
      <c r="K38" s="6" t="n">
        <f aca="false">VLOOKUP(E38,Parametros!$D$3:$E$6,2,FALSE())</f>
        <v>5</v>
      </c>
      <c r="L38" s="6" t="str">
        <f aca="false">IF(J38="","",IF(J38&lt;=K38,"Dentro do prazo","Fora do prazo"))</f>
        <v>Dentro do prazo</v>
      </c>
    </row>
    <row r="39" customFormat="false" ht="15" hidden="false" customHeight="false" outlineLevel="0" collapsed="false">
      <c r="A39" s="6" t="s">
        <v>96</v>
      </c>
      <c r="B39" s="7" t="n">
        <v>46234</v>
      </c>
      <c r="C39" s="8" t="s">
        <v>26</v>
      </c>
      <c r="D39" s="8" t="s">
        <v>27</v>
      </c>
      <c r="E39" s="6" t="s">
        <v>52</v>
      </c>
      <c r="F39" s="6" t="s">
        <v>29</v>
      </c>
      <c r="G39" s="6" t="s">
        <v>30</v>
      </c>
      <c r="H39" s="8" t="str">
        <f aca="false">VLOOKUP(G39,Parametros!$A$3:$B$7,2,FALSE())</f>
        <v>Elisa Rocha</v>
      </c>
      <c r="I39" s="7" t="n">
        <v>46235</v>
      </c>
      <c r="J39" s="6" t="n">
        <f aca="false">IF(I39="","",I39-B39)</f>
        <v>1</v>
      </c>
      <c r="K39" s="6" t="n">
        <f aca="false">VLOOKUP(E39,Parametros!$D$3:$E$6,2,FALSE())</f>
        <v>2</v>
      </c>
      <c r="L39" s="6" t="str">
        <f aca="false">IF(J39="","",IF(J39&lt;=K39,"Dentro do prazo","Fora do prazo"))</f>
        <v>Dentro do prazo</v>
      </c>
    </row>
    <row r="40" customFormat="false" ht="15" hidden="false" customHeight="false" outlineLevel="0" collapsed="false">
      <c r="A40" s="6" t="s">
        <v>97</v>
      </c>
      <c r="B40" s="7" t="n">
        <v>46236</v>
      </c>
      <c r="C40" s="8" t="s">
        <v>44</v>
      </c>
      <c r="D40" s="8" t="s">
        <v>59</v>
      </c>
      <c r="E40" s="6" t="s">
        <v>28</v>
      </c>
      <c r="F40" s="6" t="s">
        <v>29</v>
      </c>
      <c r="G40" s="6" t="s">
        <v>42</v>
      </c>
      <c r="H40" s="8" t="str">
        <f aca="false">VLOOKUP(G40,Parametros!$A$3:$B$7,2,FALSE())</f>
        <v>Bruno Lima</v>
      </c>
      <c r="I40" s="7" t="n">
        <v>46241</v>
      </c>
      <c r="J40" s="6" t="n">
        <f aca="false">IF(I40="","",I40-B40)</f>
        <v>5</v>
      </c>
      <c r="K40" s="6" t="n">
        <f aca="false">VLOOKUP(E40,Parametros!$D$3:$E$6,2,FALSE())</f>
        <v>5</v>
      </c>
      <c r="L40" s="6" t="str">
        <f aca="false">IF(J40="","",IF(J40&lt;=K40,"Dentro do prazo","Fora do prazo"))</f>
        <v>Dentro do prazo</v>
      </c>
    </row>
    <row r="41" customFormat="false" ht="15" hidden="false" customHeight="false" outlineLevel="0" collapsed="false">
      <c r="A41" s="6" t="s">
        <v>98</v>
      </c>
      <c r="B41" s="7" t="n">
        <v>46243</v>
      </c>
      <c r="C41" s="8" t="s">
        <v>47</v>
      </c>
      <c r="D41" s="8" t="s">
        <v>48</v>
      </c>
      <c r="E41" s="6" t="s">
        <v>82</v>
      </c>
      <c r="F41" s="6" t="s">
        <v>29</v>
      </c>
      <c r="G41" s="6" t="s">
        <v>42</v>
      </c>
      <c r="H41" s="8" t="str">
        <f aca="false">VLOOKUP(G41,Parametros!$A$3:$B$7,2,FALSE())</f>
        <v>Bruno Lima</v>
      </c>
      <c r="I41" s="7" t="n">
        <v>46244</v>
      </c>
      <c r="J41" s="6" t="n">
        <f aca="false">IF(I41="","",I41-B41)</f>
        <v>1</v>
      </c>
      <c r="K41" s="6" t="n">
        <f aca="false">VLOOKUP(E41,Parametros!$D$3:$E$6,2,FALSE())</f>
        <v>1</v>
      </c>
      <c r="L41" s="6" t="str">
        <f aca="false">IF(J41="","",IF(J41&lt;=K41,"Dentro do prazo","Fora do prazo"))</f>
        <v>Dentro do prazo</v>
      </c>
    </row>
    <row r="42" customFormat="false" ht="15" hidden="false" customHeight="false" outlineLevel="0" collapsed="false">
      <c r="A42" s="6" t="s">
        <v>99</v>
      </c>
      <c r="B42" s="7" t="n">
        <v>46252</v>
      </c>
      <c r="C42" s="8" t="s">
        <v>47</v>
      </c>
      <c r="D42" s="8" t="s">
        <v>48</v>
      </c>
      <c r="E42" s="6" t="s">
        <v>28</v>
      </c>
      <c r="F42" s="6" t="s">
        <v>29</v>
      </c>
      <c r="G42" s="6" t="s">
        <v>39</v>
      </c>
      <c r="H42" s="8" t="str">
        <f aca="false">VLOOKUP(G42,Parametros!$A$3:$B$7,2,FALSE())</f>
        <v>Ana Souza</v>
      </c>
      <c r="I42" s="7" t="n">
        <v>46253</v>
      </c>
      <c r="J42" s="6" t="n">
        <f aca="false">IF(I42="","",I42-B42)</f>
        <v>1</v>
      </c>
      <c r="K42" s="6" t="n">
        <f aca="false">VLOOKUP(E42,Parametros!$D$3:$E$6,2,FALSE())</f>
        <v>5</v>
      </c>
      <c r="L42" s="6" t="str">
        <f aca="false">IF(J42="","",IF(J42&lt;=K42,"Dentro do prazo","Fora do prazo"))</f>
        <v>Dentro do prazo</v>
      </c>
    </row>
    <row r="43" customFormat="false" ht="15" hidden="false" customHeight="false" outlineLevel="0" collapsed="false">
      <c r="A43" s="6" t="s">
        <v>100</v>
      </c>
      <c r="B43" s="7" t="n">
        <v>46252</v>
      </c>
      <c r="C43" s="8" t="s">
        <v>32</v>
      </c>
      <c r="D43" s="8" t="s">
        <v>101</v>
      </c>
      <c r="E43" s="6" t="s">
        <v>34</v>
      </c>
      <c r="F43" s="6" t="s">
        <v>60</v>
      </c>
      <c r="G43" s="6" t="s">
        <v>30</v>
      </c>
      <c r="H43" s="8" t="str">
        <f aca="false">VLOOKUP(G43,Parametros!$A$3:$B$7,2,FALSE())</f>
        <v>Elisa Rocha</v>
      </c>
      <c r="I43" s="6"/>
      <c r="J43" s="6" t="str">
        <f aca="false">IF(I43="","",I43-B43)</f>
        <v/>
      </c>
      <c r="K43" s="6" t="n">
        <f aca="false">VLOOKUP(E43,Parametros!$D$3:$E$6,2,FALSE())</f>
        <v>10</v>
      </c>
      <c r="L43" s="6" t="str">
        <f aca="false">IF(J43="","",IF(J43&lt;=K43,"Dentro do prazo","Fora do prazo"))</f>
        <v/>
      </c>
    </row>
    <row r="44" customFormat="false" ht="15" hidden="false" customHeight="false" outlineLevel="0" collapsed="false">
      <c r="A44" s="6" t="s">
        <v>102</v>
      </c>
      <c r="B44" s="7" t="n">
        <v>46254</v>
      </c>
      <c r="C44" s="8" t="s">
        <v>37</v>
      </c>
      <c r="D44" s="8" t="s">
        <v>75</v>
      </c>
      <c r="E44" s="6" t="s">
        <v>34</v>
      </c>
      <c r="F44" s="6" t="s">
        <v>29</v>
      </c>
      <c r="G44" s="6" t="s">
        <v>35</v>
      </c>
      <c r="H44" s="8" t="str">
        <f aca="false">VLOOKUP(G44,Parametros!$A$3:$B$7,2,FALSE())</f>
        <v>Carla Mendes</v>
      </c>
      <c r="I44" s="7" t="n">
        <v>46272</v>
      </c>
      <c r="J44" s="6" t="n">
        <f aca="false">IF(I44="","",I44-B44)</f>
        <v>18</v>
      </c>
      <c r="K44" s="6" t="n">
        <f aca="false">VLOOKUP(E44,Parametros!$D$3:$E$6,2,FALSE())</f>
        <v>10</v>
      </c>
      <c r="L44" s="6" t="str">
        <f aca="false">IF(J44="","",IF(J44&lt;=K44,"Dentro do prazo","Fora do prazo"))</f>
        <v>Fora do prazo</v>
      </c>
    </row>
    <row r="45" customFormat="false" ht="15" hidden="false" customHeight="false" outlineLevel="0" collapsed="false">
      <c r="A45" s="6" t="s">
        <v>103</v>
      </c>
      <c r="B45" s="7" t="n">
        <v>46257</v>
      </c>
      <c r="C45" s="8" t="s">
        <v>32</v>
      </c>
      <c r="D45" s="8" t="s">
        <v>33</v>
      </c>
      <c r="E45" s="6" t="s">
        <v>52</v>
      </c>
      <c r="F45" s="6" t="s">
        <v>29</v>
      </c>
      <c r="G45" s="6" t="s">
        <v>39</v>
      </c>
      <c r="H45" s="8" t="str">
        <f aca="false">VLOOKUP(G45,Parametros!$A$3:$B$7,2,FALSE())</f>
        <v>Ana Souza</v>
      </c>
      <c r="I45" s="7" t="n">
        <v>46259</v>
      </c>
      <c r="J45" s="6" t="n">
        <f aca="false">IF(I45="","",I45-B45)</f>
        <v>2</v>
      </c>
      <c r="K45" s="6" t="n">
        <f aca="false">VLOOKUP(E45,Parametros!$D$3:$E$6,2,FALSE())</f>
        <v>2</v>
      </c>
      <c r="L45" s="6" t="str">
        <f aca="false">IF(J45="","",IF(J45&lt;=K45,"Dentro do prazo","Fora do prazo"))</f>
        <v>Dentro do prazo</v>
      </c>
    </row>
    <row r="46" customFormat="false" ht="15" hidden="false" customHeight="false" outlineLevel="0" collapsed="false">
      <c r="A46" s="6" t="s">
        <v>104</v>
      </c>
      <c r="B46" s="7" t="n">
        <v>46261</v>
      </c>
      <c r="C46" s="8" t="s">
        <v>32</v>
      </c>
      <c r="D46" s="8" t="s">
        <v>41</v>
      </c>
      <c r="E46" s="6" t="s">
        <v>34</v>
      </c>
      <c r="F46" s="6" t="s">
        <v>29</v>
      </c>
      <c r="G46" s="6" t="s">
        <v>39</v>
      </c>
      <c r="H46" s="8" t="str">
        <f aca="false">VLOOKUP(G46,Parametros!$A$3:$B$7,2,FALSE())</f>
        <v>Ana Souza</v>
      </c>
      <c r="I46" s="7" t="n">
        <v>46264</v>
      </c>
      <c r="J46" s="6" t="n">
        <f aca="false">IF(I46="","",I46-B46)</f>
        <v>3</v>
      </c>
      <c r="K46" s="6" t="n">
        <f aca="false">VLOOKUP(E46,Parametros!$D$3:$E$6,2,FALSE())</f>
        <v>10</v>
      </c>
      <c r="L46" s="6" t="str">
        <f aca="false">IF(J46="","",IF(J46&lt;=K46,"Dentro do prazo","Fora do prazo"))</f>
        <v>Dentro do prazo</v>
      </c>
    </row>
    <row r="47" customFormat="false" ht="15" hidden="false" customHeight="false" outlineLevel="0" collapsed="false">
      <c r="A47" s="6" t="s">
        <v>105</v>
      </c>
      <c r="B47" s="7" t="n">
        <v>46266</v>
      </c>
      <c r="C47" s="8" t="s">
        <v>32</v>
      </c>
      <c r="D47" s="8" t="s">
        <v>41</v>
      </c>
      <c r="E47" s="6" t="s">
        <v>28</v>
      </c>
      <c r="F47" s="6" t="s">
        <v>29</v>
      </c>
      <c r="G47" s="6" t="s">
        <v>30</v>
      </c>
      <c r="H47" s="8" t="str">
        <f aca="false">VLOOKUP(G47,Parametros!$A$3:$B$7,2,FALSE())</f>
        <v>Elisa Rocha</v>
      </c>
      <c r="I47" s="7" t="n">
        <v>46267</v>
      </c>
      <c r="J47" s="6" t="n">
        <f aca="false">IF(I47="","",I47-B47)</f>
        <v>1</v>
      </c>
      <c r="K47" s="6" t="n">
        <f aca="false">VLOOKUP(E47,Parametros!$D$3:$E$6,2,FALSE())</f>
        <v>5</v>
      </c>
      <c r="L47" s="6" t="str">
        <f aca="false">IF(J47="","",IF(J47&lt;=K47,"Dentro do prazo","Fora do prazo"))</f>
        <v>Dentro do prazo</v>
      </c>
    </row>
    <row r="48" customFormat="false" ht="15" hidden="false" customHeight="false" outlineLevel="0" collapsed="false">
      <c r="A48" s="6" t="s">
        <v>106</v>
      </c>
      <c r="B48" s="7" t="n">
        <v>46272</v>
      </c>
      <c r="C48" s="8" t="s">
        <v>47</v>
      </c>
      <c r="D48" s="8" t="s">
        <v>88</v>
      </c>
      <c r="E48" s="6" t="s">
        <v>52</v>
      </c>
      <c r="F48" s="6" t="s">
        <v>29</v>
      </c>
      <c r="G48" s="6" t="s">
        <v>35</v>
      </c>
      <c r="H48" s="8" t="str">
        <f aca="false">VLOOKUP(G48,Parametros!$A$3:$B$7,2,FALSE())</f>
        <v>Carla Mendes</v>
      </c>
      <c r="I48" s="7" t="n">
        <v>46273</v>
      </c>
      <c r="J48" s="6" t="n">
        <f aca="false">IF(I48="","",I48-B48)</f>
        <v>1</v>
      </c>
      <c r="K48" s="6" t="n">
        <f aca="false">VLOOKUP(E48,Parametros!$D$3:$E$6,2,FALSE())</f>
        <v>2</v>
      </c>
      <c r="L48" s="6" t="str">
        <f aca="false">IF(J48="","",IF(J48&lt;=K48,"Dentro do prazo","Fora do prazo"))</f>
        <v>Dentro do prazo</v>
      </c>
    </row>
    <row r="49" customFormat="false" ht="15" hidden="false" customHeight="false" outlineLevel="0" collapsed="false">
      <c r="A49" s="6" t="s">
        <v>107</v>
      </c>
      <c r="B49" s="7" t="n">
        <v>46273</v>
      </c>
      <c r="C49" s="8" t="s">
        <v>37</v>
      </c>
      <c r="D49" s="8" t="s">
        <v>108</v>
      </c>
      <c r="E49" s="6" t="s">
        <v>34</v>
      </c>
      <c r="F49" s="6" t="s">
        <v>29</v>
      </c>
      <c r="G49" s="6" t="s">
        <v>42</v>
      </c>
      <c r="H49" s="8" t="str">
        <f aca="false">VLOOKUP(G49,Parametros!$A$3:$B$7,2,FALSE())</f>
        <v>Bruno Lima</v>
      </c>
      <c r="I49" s="7" t="n">
        <v>46280</v>
      </c>
      <c r="J49" s="6" t="n">
        <f aca="false">IF(I49="","",I49-B49)</f>
        <v>7</v>
      </c>
      <c r="K49" s="6" t="n">
        <f aca="false">VLOOKUP(E49,Parametros!$D$3:$E$6,2,FALSE())</f>
        <v>10</v>
      </c>
      <c r="L49" s="6" t="str">
        <f aca="false">IF(J49="","",IF(J49&lt;=K49,"Dentro do prazo","Fora do prazo"))</f>
        <v>Dentro do prazo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" t="s">
        <v>109</v>
      </c>
      <c r="D1" s="4" t="s">
        <v>110</v>
      </c>
    </row>
    <row r="2" customFormat="false" ht="15" hidden="false" customHeight="false" outlineLevel="0" collapsed="false">
      <c r="A2" s="5" t="s">
        <v>111</v>
      </c>
      <c r="B2" s="5" t="s">
        <v>112</v>
      </c>
      <c r="D2" s="5" t="s">
        <v>17</v>
      </c>
      <c r="E2" s="5" t="s">
        <v>23</v>
      </c>
    </row>
    <row r="3" customFormat="false" ht="15" hidden="false" customHeight="false" outlineLevel="0" collapsed="false">
      <c r="A3" s="9" t="s">
        <v>39</v>
      </c>
      <c r="B3" s="10" t="s">
        <v>113</v>
      </c>
      <c r="D3" s="10" t="s">
        <v>82</v>
      </c>
      <c r="E3" s="9" t="n">
        <v>1</v>
      </c>
    </row>
    <row r="4" customFormat="false" ht="15" hidden="false" customHeight="false" outlineLevel="0" collapsed="false">
      <c r="A4" s="9" t="s">
        <v>42</v>
      </c>
      <c r="B4" s="10" t="s">
        <v>114</v>
      </c>
      <c r="D4" s="10" t="s">
        <v>52</v>
      </c>
      <c r="E4" s="9" t="n">
        <v>2</v>
      </c>
    </row>
    <row r="5" customFormat="false" ht="15" hidden="false" customHeight="false" outlineLevel="0" collapsed="false">
      <c r="A5" s="9" t="s">
        <v>35</v>
      </c>
      <c r="B5" s="10" t="s">
        <v>115</v>
      </c>
      <c r="D5" s="10" t="s">
        <v>28</v>
      </c>
      <c r="E5" s="9" t="n">
        <v>5</v>
      </c>
    </row>
    <row r="6" customFormat="false" ht="15" hidden="false" customHeight="false" outlineLevel="0" collapsed="false">
      <c r="A6" s="9" t="s">
        <v>62</v>
      </c>
      <c r="B6" s="10" t="s">
        <v>116</v>
      </c>
      <c r="D6" s="10" t="s">
        <v>34</v>
      </c>
      <c r="E6" s="9" t="n">
        <v>10</v>
      </c>
    </row>
    <row r="7" customFormat="false" ht="15" hidden="false" customHeight="false" outlineLevel="0" collapsed="false">
      <c r="A7" s="9" t="s">
        <v>30</v>
      </c>
      <c r="B7" s="10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9" min="8" style="0" width="14"/>
  </cols>
  <sheetData>
    <row r="2" customFormat="false" ht="17.35" hidden="false" customHeight="false" outlineLevel="0" collapsed="false">
      <c r="B2" s="1" t="s">
        <v>118</v>
      </c>
    </row>
    <row r="3" customFormat="false" ht="15" hidden="false" customHeight="false" outlineLevel="0" collapsed="false">
      <c r="B3" s="2" t="s">
        <v>119</v>
      </c>
    </row>
    <row r="5" customFormat="false" ht="15" hidden="false" customHeight="false" outlineLevel="0" collapsed="false">
      <c r="B5" s="4" t="s">
        <v>120</v>
      </c>
      <c r="E5" s="4" t="s">
        <v>121</v>
      </c>
      <c r="H5" s="4" t="s">
        <v>122</v>
      </c>
    </row>
    <row r="6" customFormat="false" ht="15" hidden="false" customHeight="false" outlineLevel="0" collapsed="false">
      <c r="B6" s="5" t="s">
        <v>123</v>
      </c>
      <c r="C6" s="5" t="s">
        <v>124</v>
      </c>
      <c r="E6" s="5" t="s">
        <v>17</v>
      </c>
      <c r="F6" s="5" t="s">
        <v>124</v>
      </c>
      <c r="H6" s="5" t="s">
        <v>17</v>
      </c>
      <c r="I6" s="5" t="s">
        <v>125</v>
      </c>
    </row>
    <row r="7" customFormat="false" ht="15" hidden="false" customHeight="false" outlineLevel="0" collapsed="false">
      <c r="B7" s="10" t="s">
        <v>26</v>
      </c>
      <c r="C7" s="9" t="n">
        <f aca="false">COUNTIF(Chamados!$C$2:$C$49,B7)</f>
        <v>11</v>
      </c>
      <c r="E7" s="10" t="s">
        <v>82</v>
      </c>
      <c r="F7" s="9" t="n">
        <f aca="false">COUNTIF(Chamados!$E$2:$E$49,E7)</f>
        <v>4</v>
      </c>
      <c r="H7" s="10" t="s">
        <v>82</v>
      </c>
      <c r="I7" s="11" t="n">
        <f aca="false">IFERROR(AVERAGEIFS(Chamados!$J$2:$J$49,Chamados!$E$2:$E$49,H7),0)</f>
        <v>1</v>
      </c>
    </row>
    <row r="8" customFormat="false" ht="15" hidden="false" customHeight="false" outlineLevel="0" collapsed="false">
      <c r="B8" s="10" t="s">
        <v>44</v>
      </c>
      <c r="C8" s="9" t="n">
        <f aca="false">COUNTIF(Chamados!$C$2:$C$49,B8)</f>
        <v>11</v>
      </c>
      <c r="E8" s="10" t="s">
        <v>52</v>
      </c>
      <c r="F8" s="9" t="n">
        <f aca="false">COUNTIF(Chamados!$E$2:$E$49,E8)</f>
        <v>10</v>
      </c>
      <c r="H8" s="10" t="s">
        <v>52</v>
      </c>
      <c r="I8" s="11" t="n">
        <f aca="false">IFERROR(AVERAGEIFS(Chamados!$J$2:$J$49,Chamados!$E$2:$E$49,H8),0)</f>
        <v>1.9</v>
      </c>
    </row>
    <row r="9" customFormat="false" ht="15" hidden="false" customHeight="false" outlineLevel="0" collapsed="false">
      <c r="B9" s="10" t="s">
        <v>47</v>
      </c>
      <c r="C9" s="9" t="n">
        <f aca="false">COUNTIF(Chamados!$C$2:$C$49,B9)</f>
        <v>8</v>
      </c>
      <c r="E9" s="10" t="s">
        <v>28</v>
      </c>
      <c r="F9" s="9" t="n">
        <f aca="false">COUNTIF(Chamados!$E$2:$E$49,E9)</f>
        <v>14</v>
      </c>
      <c r="H9" s="10" t="s">
        <v>28</v>
      </c>
      <c r="I9" s="11" t="n">
        <f aca="false">IFERROR(AVERAGEIFS(Chamados!$J$2:$J$49,Chamados!$E$2:$E$49,H9),0)</f>
        <v>3.92857142857143</v>
      </c>
    </row>
    <row r="10" customFormat="false" ht="15" hidden="false" customHeight="false" outlineLevel="0" collapsed="false">
      <c r="B10" s="10" t="s">
        <v>37</v>
      </c>
      <c r="C10" s="9" t="n">
        <f aca="false">COUNTIF(Chamados!$C$2:$C$49,B10)</f>
        <v>5</v>
      </c>
      <c r="E10" s="10" t="s">
        <v>34</v>
      </c>
      <c r="F10" s="9" t="n">
        <f aca="false">COUNTIF(Chamados!$E$2:$E$49,E10)</f>
        <v>20</v>
      </c>
      <c r="H10" s="10" t="s">
        <v>34</v>
      </c>
      <c r="I10" s="11" t="n">
        <f aca="false">IFERROR(AVERAGEIFS(Chamados!$J$2:$J$49,Chamados!$E$2:$E$49,H10),0)</f>
        <v>11.2666666666667</v>
      </c>
    </row>
    <row r="11" customFormat="false" ht="15" hidden="false" customHeight="false" outlineLevel="0" collapsed="false">
      <c r="B11" s="10" t="s">
        <v>32</v>
      </c>
      <c r="C11" s="9" t="n">
        <f aca="false">COUNTIF(Chamados!$C$2:$C$49,B11)</f>
        <v>13</v>
      </c>
    </row>
    <row r="14" customFormat="false" ht="15" hidden="false" customHeight="false" outlineLevel="0" collapsed="false">
      <c r="B14" s="4" t="s">
        <v>126</v>
      </c>
    </row>
    <row r="15" customFormat="false" ht="15" hidden="false" customHeight="false" outlineLevel="0" collapsed="false">
      <c r="B15" s="3" t="s">
        <v>127</v>
      </c>
      <c r="C15" s="12" t="n">
        <f aca="false">COUNTA(Chamados!$A$2:$A$49)</f>
        <v>48</v>
      </c>
    </row>
    <row r="16" customFormat="false" ht="15" hidden="false" customHeight="false" outlineLevel="0" collapsed="false">
      <c r="B16" s="3" t="s">
        <v>128</v>
      </c>
      <c r="C16" s="12" t="n">
        <f aca="false">COUNTIF(Chamados!$F$2:$F$49,"Resolvido")</f>
        <v>41</v>
      </c>
    </row>
    <row r="17" customFormat="false" ht="15" hidden="false" customHeight="false" outlineLevel="0" collapsed="false">
      <c r="B17" s="3" t="s">
        <v>129</v>
      </c>
      <c r="C17" s="12" t="n">
        <f aca="false">COUNTIF(Chamados!$F$2:$F$49,"Aberto")+COUNTIF(Chamados!$F$2:$F$49,"Em andamento")</f>
        <v>5</v>
      </c>
    </row>
    <row r="18" customFormat="false" ht="15" hidden="false" customHeight="false" outlineLevel="0" collapsed="false">
      <c r="B18" s="3" t="s">
        <v>130</v>
      </c>
      <c r="C18" s="12" t="n">
        <f aca="false">COUNTIF(Chamados!$L$2:$L$49,"Fora do prazo")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2026-09-27T00:28:27Z</dcterms:created>
  <dc:creator>openpyxl</dc:creator>
  <dc:description/>
  <dc:language>en-US</dc:language>
  <cp:lastModifiedBy/>
  <dcterms:modified xsi:type="dcterms:W3CDTF">2026-09-27T00:28:30Z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